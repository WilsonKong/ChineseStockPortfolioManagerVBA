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3" defaultThemeVersion="153222"/>
  <mc:AlternateContent xmlns:mc="http://schemas.openxmlformats.org/markup-compatibility/2006">
    <mc:Choice Requires="x15">
      <x15ac:absPath xmlns:x15ac="http://schemas.microsoft.com/office/spreadsheetml/2010/11/ac" url="C:\Users\wkon7447\Dropbox\临时存放\Personal Projects\Stock Profolio Manager\ChineseStockPortfolioManagerVBA\"/>
    </mc:Choice>
  </mc:AlternateContent>
  <bookViews>
    <workbookView xWindow="0" yWindow="0" windowWidth="20490" windowHeight="7710"/>
  </bookViews>
  <sheets>
    <sheet name="InvestSummary" sheetId="4" r:id="rId1"/>
    <sheet name="Transactions" sheetId="2" r:id="rId2"/>
    <sheet name="Balance" sheetId="3" r:id="rId3"/>
    <sheet name="Portfolio Log" sheetId="1" r:id="rId4"/>
    <sheet name="MISC" sheetId="5" r:id="rId5"/>
    <sheet name="Chart" sheetId="6" r:id="rId6"/>
  </sheets>
  <functionGroups builtInGroupCount="18"/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4" l="1"/>
  <c r="G5" i="3"/>
  <c r="Q5" i="3"/>
  <c r="F5" i="3"/>
  <c r="H5" i="3"/>
  <c r="I5" i="3"/>
  <c r="J5" i="3"/>
  <c r="M5" i="3"/>
  <c r="D5" i="3"/>
  <c r="D4" i="3"/>
  <c r="F4" i="3"/>
  <c r="G4" i="3"/>
  <c r="M4" i="3"/>
  <c r="D3" i="3"/>
  <c r="F3" i="3"/>
  <c r="G3" i="3"/>
  <c r="Q3" i="3"/>
  <c r="H3" i="3"/>
  <c r="I3" i="3"/>
  <c r="J3" i="3"/>
  <c r="M3" i="3"/>
  <c r="H2" i="2"/>
  <c r="I2" i="2"/>
  <c r="Q4" i="3"/>
  <c r="H4" i="3"/>
  <c r="I4" i="3"/>
  <c r="J4" i="3"/>
  <c r="M2" i="3"/>
  <c r="D2" i="3"/>
  <c r="F2" i="3"/>
  <c r="G2" i="3"/>
  <c r="J2" i="2"/>
  <c r="C2" i="1"/>
  <c r="E2" i="1"/>
  <c r="F2" i="1"/>
  <c r="G2" i="1"/>
  <c r="D2" i="4"/>
  <c r="G2" i="4"/>
  <c r="E2" i="4"/>
  <c r="X2" i="1"/>
  <c r="Z2" i="1"/>
  <c r="J2" i="4"/>
  <c r="L2" i="2"/>
  <c r="W2" i="1"/>
  <c r="U2" i="1"/>
  <c r="S2" i="1"/>
  <c r="Y2" i="1"/>
  <c r="Q2" i="4"/>
  <c r="J2" i="1"/>
  <c r="L2" i="1"/>
  <c r="N2" i="4"/>
  <c r="D2" i="1"/>
  <c r="K2" i="1"/>
  <c r="O2" i="1"/>
  <c r="B2" i="5"/>
  <c r="R2" i="4"/>
  <c r="K2" i="2"/>
  <c r="P2" i="1"/>
  <c r="R2" i="1"/>
  <c r="H2" i="1"/>
  <c r="I2" i="1"/>
  <c r="Q2" i="1"/>
  <c r="Q2" i="3"/>
  <c r="H2" i="3"/>
  <c r="I2" i="3"/>
  <c r="J2" i="3"/>
  <c r="O2" i="4"/>
  <c r="C2" i="4"/>
  <c r="L2" i="4"/>
  <c r="M2" i="4"/>
  <c r="K2" i="4"/>
  <c r="B2" i="4"/>
  <c r="F2" i="4"/>
</calcChain>
</file>

<file path=xl/comments1.xml><?xml version="1.0" encoding="utf-8"?>
<comments xmlns="http://schemas.openxmlformats.org/spreadsheetml/2006/main">
  <authors>
    <author>WilsonKong</author>
  </authors>
  <commentList>
    <comment ref="N2" authorId="0" shapeId="0">
      <text>
        <r>
          <rPr>
            <b/>
            <sz val="9"/>
            <color indexed="81"/>
            <rFont val="宋体"/>
            <family val="3"/>
            <charset val="134"/>
          </rPr>
          <t>WilsonKong:</t>
        </r>
        <r>
          <rPr>
            <sz val="9"/>
            <color indexed="81"/>
            <rFont val="宋体"/>
            <family val="3"/>
            <charset val="134"/>
          </rPr>
          <t xml:space="preserve">
在统计开始时间前的股票价值+(账户投入总额-统计开始期前买入股票花费+统计开始期前卖出股票收益)</t>
        </r>
      </text>
    </comment>
  </commentList>
</comments>
</file>

<file path=xl/sharedStrings.xml><?xml version="1.0" encoding="utf-8"?>
<sst xmlns="http://schemas.openxmlformats.org/spreadsheetml/2006/main" count="89" uniqueCount="81">
  <si>
    <t>现价/清仓均价</t>
    <phoneticPr fontId="3" type="noConversion"/>
  </si>
  <si>
    <t>持仓编号</t>
    <phoneticPr fontId="3" type="noConversion"/>
  </si>
  <si>
    <t>股票代码</t>
    <phoneticPr fontId="3" type="noConversion"/>
  </si>
  <si>
    <t>持仓成本</t>
    <phoneticPr fontId="3" type="noConversion"/>
  </si>
  <si>
    <t>累计买入</t>
    <phoneticPr fontId="3" type="noConversion"/>
  </si>
  <si>
    <t>累计卖出</t>
    <phoneticPr fontId="3" type="noConversion"/>
  </si>
  <si>
    <t>持仓份数</t>
    <phoneticPr fontId="3" type="noConversion"/>
  </si>
  <si>
    <t>浮动盈亏</t>
    <phoneticPr fontId="3" type="noConversion"/>
  </si>
  <si>
    <t>浮盈率</t>
    <phoneticPr fontId="3" type="noConversion"/>
  </si>
  <si>
    <t>持仓市值</t>
    <phoneticPr fontId="3" type="noConversion"/>
  </si>
  <si>
    <t>保本价</t>
    <phoneticPr fontId="3" type="noConversion"/>
  </si>
  <si>
    <t>仓位</t>
    <phoneticPr fontId="3" type="noConversion"/>
  </si>
  <si>
    <t>开仓日期</t>
    <phoneticPr fontId="3" type="noConversion"/>
  </si>
  <si>
    <t>清仓日期</t>
    <phoneticPr fontId="3" type="noConversion"/>
  </si>
  <si>
    <t>持仓总盈利</t>
    <phoneticPr fontId="3" type="noConversion"/>
  </si>
  <si>
    <t>持仓收益率</t>
    <phoneticPr fontId="3" type="noConversion"/>
  </si>
  <si>
    <t>持仓盈亏占总资金比</t>
    <phoneticPr fontId="3" type="noConversion"/>
  </si>
  <si>
    <t>持仓年化率</t>
    <phoneticPr fontId="3" type="noConversion"/>
  </si>
  <si>
    <t>累计持仓天数</t>
    <phoneticPr fontId="3" type="noConversion"/>
  </si>
  <si>
    <t>设定止损价</t>
    <phoneticPr fontId="3" type="noConversion"/>
  </si>
  <si>
    <t>止损价盈利率</t>
    <phoneticPr fontId="3" type="noConversion"/>
  </si>
  <si>
    <t>设定止盈价</t>
    <phoneticPr fontId="3" type="noConversion"/>
  </si>
  <si>
    <t>止盈价盈利</t>
    <phoneticPr fontId="3" type="noConversion"/>
  </si>
  <si>
    <t>辅助列</t>
    <phoneticPr fontId="3" type="noConversion"/>
  </si>
  <si>
    <t>期初辅助列</t>
    <phoneticPr fontId="3" type="noConversion"/>
  </si>
  <si>
    <t>持仓计算辅助列</t>
    <phoneticPr fontId="3" type="noConversion"/>
  </si>
  <si>
    <t>序号</t>
    <phoneticPr fontId="3" type="noConversion"/>
  </si>
  <si>
    <t>市场</t>
    <phoneticPr fontId="3" type="noConversion"/>
  </si>
  <si>
    <t>股票代码</t>
    <phoneticPr fontId="3" type="noConversion"/>
  </si>
  <si>
    <t>交易日期</t>
    <phoneticPr fontId="3" type="noConversion"/>
  </si>
  <si>
    <t>买卖标记</t>
    <phoneticPr fontId="3" type="noConversion"/>
  </si>
  <si>
    <t>成交价</t>
    <phoneticPr fontId="3" type="noConversion"/>
  </si>
  <si>
    <t>交易量</t>
    <phoneticPr fontId="3" type="noConversion"/>
  </si>
  <si>
    <t>交易税费</t>
    <phoneticPr fontId="3" type="noConversion"/>
  </si>
  <si>
    <t>交易均价</t>
    <phoneticPr fontId="3" type="noConversion"/>
  </si>
  <si>
    <t>成交总金额</t>
    <phoneticPr fontId="3" type="noConversion"/>
  </si>
  <si>
    <t>卖出盈利</t>
    <phoneticPr fontId="3" type="noConversion"/>
  </si>
  <si>
    <t>卖出盈利率</t>
    <phoneticPr fontId="3" type="noConversion"/>
  </si>
  <si>
    <t>沪</t>
    <phoneticPr fontId="3" type="noConversion"/>
  </si>
  <si>
    <t>买入</t>
    <phoneticPr fontId="3" type="noConversion"/>
  </si>
  <si>
    <t>日期</t>
    <phoneticPr fontId="3" type="noConversion"/>
  </si>
  <si>
    <t>充值方向</t>
    <phoneticPr fontId="3" type="noConversion"/>
  </si>
  <si>
    <t>金额</t>
    <phoneticPr fontId="3" type="noConversion"/>
  </si>
  <si>
    <t>账户充值净额</t>
    <phoneticPr fontId="3" type="noConversion"/>
  </si>
  <si>
    <t>持股市值</t>
    <phoneticPr fontId="3" type="noConversion"/>
  </si>
  <si>
    <t>交易现金流</t>
    <phoneticPr fontId="3" type="noConversion"/>
  </si>
  <si>
    <t>账户实际额度(收盘时)</t>
    <phoneticPr fontId="3" type="noConversion"/>
  </si>
  <si>
    <t>本期盈亏</t>
    <phoneticPr fontId="3" type="noConversion"/>
  </si>
  <si>
    <t>本期收益率</t>
    <phoneticPr fontId="3" type="noConversion"/>
  </si>
  <si>
    <t>年化率</t>
    <phoneticPr fontId="3" type="noConversion"/>
  </si>
  <si>
    <t>过去一期收益</t>
    <phoneticPr fontId="3" type="noConversion"/>
  </si>
  <si>
    <t>大盘指数</t>
    <phoneticPr fontId="3" type="noConversion"/>
  </si>
  <si>
    <t>大盘与上期比</t>
    <phoneticPr fontId="3" type="noConversion"/>
  </si>
  <si>
    <t>个人投资曲线</t>
    <phoneticPr fontId="3" type="noConversion"/>
  </si>
  <si>
    <t>大盘曲线</t>
    <phoneticPr fontId="3" type="noConversion"/>
  </si>
  <si>
    <t>净值</t>
  </si>
  <si>
    <t>大盘相对净值</t>
  </si>
  <si>
    <t>充值</t>
    <phoneticPr fontId="3" type="noConversion"/>
  </si>
  <si>
    <t>-</t>
    <phoneticPr fontId="3" type="noConversion"/>
  </si>
  <si>
    <t>账户投入</t>
    <phoneticPr fontId="3" type="noConversion"/>
  </si>
  <si>
    <t>持股成本</t>
    <phoneticPr fontId="3" type="noConversion"/>
  </si>
  <si>
    <t>仓位</t>
    <phoneticPr fontId="3" type="noConversion"/>
  </si>
  <si>
    <t>持股市值</t>
    <phoneticPr fontId="3" type="noConversion"/>
  </si>
  <si>
    <t>账户现值</t>
    <phoneticPr fontId="3" type="noConversion"/>
  </si>
  <si>
    <t>持仓浮盈</t>
    <phoneticPr fontId="3" type="noConversion"/>
  </si>
  <si>
    <t>可用资金</t>
    <phoneticPr fontId="3" type="noConversion"/>
  </si>
  <si>
    <t>单向手续费率</t>
    <phoneticPr fontId="3" type="noConversion"/>
  </si>
  <si>
    <t>统计开始时间</t>
    <phoneticPr fontId="3" type="noConversion"/>
  </si>
  <si>
    <t>统计结束时间</t>
    <phoneticPr fontId="3" type="noConversion"/>
  </si>
  <si>
    <t>统计期间盈余</t>
    <phoneticPr fontId="3" type="noConversion"/>
  </si>
  <si>
    <t>统计期间交易盈亏</t>
    <phoneticPr fontId="3" type="noConversion"/>
  </si>
  <si>
    <t>统计期年化率</t>
    <phoneticPr fontId="3" type="noConversion"/>
  </si>
  <si>
    <t>期初账户净值</t>
    <phoneticPr fontId="3" type="noConversion"/>
  </si>
  <si>
    <t>统计期账户净值涨幅</t>
    <phoneticPr fontId="3" type="noConversion"/>
  </si>
  <si>
    <t>期初大盘</t>
    <phoneticPr fontId="3" type="noConversion"/>
  </si>
  <si>
    <t>期末大盘</t>
    <phoneticPr fontId="3" type="noConversion"/>
  </si>
  <si>
    <t>大盘涨幅</t>
    <phoneticPr fontId="3" type="noConversion"/>
  </si>
  <si>
    <t>持仓计算日</t>
    <phoneticPr fontId="3" type="noConversion"/>
  </si>
  <si>
    <t>记录辅助列</t>
    <phoneticPr fontId="1" type="noConversion"/>
  </si>
  <si>
    <t>取现</t>
  </si>
  <si>
    <t>600036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</si>
</sst>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yyyy/mm/dd;@"/>
    <numFmt numFmtId="165" formatCode="0.00_ "/>
    <numFmt numFmtId="166" formatCode="0.00_);[Red]\(0.00\)"/>
    <numFmt numFmtId="167" formatCode="0.000%"/>
    <numFmt numFmtId="168" formatCode="0.00_ ;[Red]\-0.00\ "/>
    <numFmt numFmtId="169" formatCode="0_ "/>
  </numFmts>
  <fonts count="11"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  <font>
      <sz val="10"/>
      <color theme="1"/>
      <name val="微软雅黑"/>
      <family val="2"/>
      <charset val="134"/>
    </font>
    <font>
      <sz val="9"/>
      <name val="Calibri"/>
      <family val="3"/>
      <charset val="134"/>
      <scheme val="minor"/>
    </font>
    <font>
      <sz val="8"/>
      <color theme="1"/>
      <name val="微软雅黑"/>
      <family val="2"/>
      <charset val="134"/>
    </font>
    <font>
      <sz val="10"/>
      <color theme="1"/>
      <name val="Calibri"/>
      <family val="2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微软雅黑"/>
      <family val="2"/>
      <charset val="134"/>
    </font>
    <font>
      <sz val="10"/>
      <color theme="1"/>
      <name val="微软雅黑"/>
    </font>
    <font>
      <sz val="11"/>
      <color rgb="FF000000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/>
    <xf numFmtId="49" fontId="2" fillId="0" borderId="0" xfId="0" applyNumberFormat="1" applyFont="1" applyFill="1" applyAlignment="1"/>
    <xf numFmtId="164" fontId="2" fillId="0" borderId="0" xfId="0" applyNumberFormat="1" applyFont="1" applyAlignment="1"/>
    <xf numFmtId="0" fontId="4" fillId="0" borderId="0" xfId="0" applyFont="1" applyAlignment="1"/>
    <xf numFmtId="0" fontId="2" fillId="0" borderId="0" xfId="0" applyNumberFormat="1" applyFont="1" applyAlignment="1"/>
    <xf numFmtId="166" fontId="2" fillId="0" borderId="0" xfId="0" applyNumberFormat="1" applyFont="1" applyAlignment="1"/>
    <xf numFmtId="165" fontId="2" fillId="0" borderId="0" xfId="0" applyNumberFormat="1" applyFont="1" applyAlignment="1"/>
    <xf numFmtId="167" fontId="2" fillId="0" borderId="0" xfId="0" applyNumberFormat="1" applyFont="1" applyAlignment="1"/>
    <xf numFmtId="10" fontId="2" fillId="0" borderId="0" xfId="0" applyNumberFormat="1" applyFont="1" applyAlignment="1"/>
    <xf numFmtId="168" fontId="2" fillId="0" borderId="0" xfId="0" applyNumberFormat="1" applyFont="1" applyAlignment="1"/>
    <xf numFmtId="14" fontId="2" fillId="0" borderId="0" xfId="0" applyNumberFormat="1" applyFont="1" applyAlignment="1"/>
    <xf numFmtId="0" fontId="2" fillId="0" borderId="0" xfId="0" applyFont="1" applyFill="1" applyBorder="1" applyAlignment="1"/>
    <xf numFmtId="0" fontId="2" fillId="0" borderId="0" xfId="0" applyFont="1" applyBorder="1" applyAlignment="1"/>
    <xf numFmtId="0" fontId="2" fillId="0" borderId="0" xfId="0" applyNumberFormat="1" applyFont="1" applyFill="1" applyAlignment="1"/>
    <xf numFmtId="165" fontId="2" fillId="0" borderId="0" xfId="0" applyNumberFormat="1" applyFont="1" applyFill="1" applyBorder="1" applyAlignment="1"/>
    <xf numFmtId="165" fontId="2" fillId="0" borderId="0" xfId="0" applyNumberFormat="1" applyFont="1" applyFill="1" applyAlignment="1"/>
    <xf numFmtId="10" fontId="2" fillId="0" borderId="0" xfId="0" applyNumberFormat="1" applyFont="1" applyFill="1" applyAlignment="1"/>
    <xf numFmtId="0" fontId="5" fillId="0" borderId="0" xfId="0" applyFont="1" applyAlignment="1"/>
    <xf numFmtId="2" fontId="2" fillId="0" borderId="0" xfId="0" applyNumberFormat="1" applyFont="1" applyAlignment="1"/>
    <xf numFmtId="14" fontId="0" fillId="0" borderId="0" xfId="0" applyNumberFormat="1">
      <alignment vertical="center"/>
    </xf>
    <xf numFmtId="0" fontId="0" fillId="0" borderId="0" xfId="0" quotePrefix="1">
      <alignment vertical="center"/>
    </xf>
    <xf numFmtId="0" fontId="8" fillId="0" borderId="0" xfId="0" applyFont="1" applyAlignment="1"/>
    <xf numFmtId="169" fontId="2" fillId="0" borderId="0" xfId="0" applyNumberFormat="1" applyFont="1" applyFill="1">
      <alignment vertical="center"/>
    </xf>
    <xf numFmtId="49" fontId="0" fillId="0" borderId="0" xfId="0" applyNumberFormat="1">
      <alignment vertical="center"/>
    </xf>
    <xf numFmtId="49" fontId="2" fillId="0" borderId="0" xfId="0" applyNumberFormat="1" applyFont="1">
      <alignment vertical="center"/>
    </xf>
    <xf numFmtId="164" fontId="9" fillId="0" borderId="0" xfId="0" applyNumberFormat="1" applyFont="1">
      <alignment vertical="center"/>
    </xf>
    <xf numFmtId="0" fontId="9" fillId="0" borderId="0" xfId="0" applyFont="1">
      <alignment vertical="center"/>
    </xf>
  </cellXfs>
  <cellStyles count="1">
    <cellStyle name="Normal" xfId="0" builtinId="0"/>
  </cellStyles>
  <dxfs count="95"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170" formatCode="m/d/yyyy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6" formatCode="0.00_);[Red]\(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8" formatCode="0.00_ ;[Red]\-0.0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4" formatCode="yyyy/mm/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4" formatCode="yyyy/mm/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7" formatCode="0.0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6" formatCode="0.00_);[Red]\(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164" formatCode="yyyy/mm/dd;@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0"/>
        <color theme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9" formatCode="0_ "/>
      <fill>
        <patternFill patternType="none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4" formatCode="yyyy/mm/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border outline="0"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none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8" formatCode="0.00_ ;[Red]\-0.0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指数净值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Balance!$A$2:$A$5</c:f>
              <c:numCache>
                <c:formatCode>yyyy/mm/dd;@</c:formatCode>
                <c:ptCount val="4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42065</c:v>
                </c:pt>
              </c:numCache>
            </c:numRef>
          </c:cat>
          <c:val>
            <c:numRef>
              <c:f>Balance!$R$2:$R$5</c:f>
              <c:numCache>
                <c:formatCode>0.00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v>账户净值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Balance!$A$2:$A$5</c:f>
              <c:numCache>
                <c:formatCode>yyyy/mm/dd;@</c:formatCode>
                <c:ptCount val="4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42065</c:v>
                </c:pt>
              </c:numCache>
            </c:numRef>
          </c:cat>
          <c:val>
            <c:numRef>
              <c:f>Balance!$Q$2:$Q$5</c:f>
              <c:numCache>
                <c:formatCode>0.00</c:formatCode>
                <c:ptCount val="4"/>
                <c:pt idx="0">
                  <c:v>1</c:v>
                </c:pt>
                <c:pt idx="1">
                  <c:v>0.95759260000000013</c:v>
                </c:pt>
                <c:pt idx="2">
                  <c:v>0.96479260000000011</c:v>
                </c:pt>
                <c:pt idx="3">
                  <c:v>0.96219260000000006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797888"/>
        <c:axId val="199798448"/>
      </c:lineChart>
      <c:dateAx>
        <c:axId val="199797888"/>
        <c:scaling>
          <c:orientation val="minMax"/>
        </c:scaling>
        <c:delete val="0"/>
        <c:axPos val="b"/>
        <c:numFmt formatCode="yyyy/mm/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798448"/>
        <c:crosses val="autoZero"/>
        <c:auto val="1"/>
        <c:lblOffset val="100"/>
        <c:baseTimeUnit val="days"/>
      </c:dateAx>
      <c:valAx>
        <c:axId val="19979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79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523875</xdr:colOff>
          <xdr:row>6</xdr:row>
          <xdr:rowOff>66675</xdr:rowOff>
        </xdr:from>
        <xdr:to>
          <xdr:col>7</xdr:col>
          <xdr:colOff>342900</xdr:colOff>
          <xdr:row>9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Demo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47625</xdr:colOff>
      <xdr:row>24</xdr:row>
      <xdr:rowOff>123824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4" name="Summary" displayName="Summary" ref="A1:R2" totalsRowShown="0" headerRowDxfId="91" dataDxfId="90">
  <autoFilter ref="A1:R2"/>
  <tableColumns count="18">
    <tableColumn id="1" name="账户投入" dataDxfId="89"/>
    <tableColumn id="2" name="持股成本" dataDxfId="88">
      <calculatedColumnFormula>SUMPRODUCT(Portfolio[持仓成本]*Portfolio[持仓份数])</calculatedColumnFormula>
    </tableColumn>
    <tableColumn id="3" name="仓位" dataDxfId="87">
      <calculatedColumnFormula>Summary[持股市值]/Summary[账户现值]</calculatedColumnFormula>
    </tableColumn>
    <tableColumn id="5" name="持股市值" dataDxfId="86">
      <calculatedColumnFormula>SUMPRODUCT(Portfolio[现价/清仓均价]*Portfolio[持仓份数])</calculatedColumnFormula>
    </tableColumn>
    <tableColumn id="11" name="账户现值" dataDxfId="85">
      <calculatedColumnFormula>Summary[持股市值]+Summary[可用资金]</calculatedColumnFormula>
    </tableColumn>
    <tableColumn id="6" name="持仓浮盈" dataDxfId="84">
      <calculatedColumnFormula>(Summary[持股市值]-Summary[持股成本])/Summary[持股成本]</calculatedColumnFormula>
    </tableColumn>
    <tableColumn id="7" name="可用资金" dataDxfId="83">
      <calculatedColumnFormula>Summary[账户投入]-SUMPRODUCT((Transactions[买卖标记]="买入")*Transactions[交易均价]*Transactions[交易量])+SUMPRODUCT((Transactions[买卖标记]="卖出")*Transactions[交易均价]*Transactions[交易量])</calculatedColumnFormula>
    </tableColumn>
    <tableColumn id="4" name="单向手续费率" dataDxfId="82"/>
    <tableColumn id="8" name="统计开始时间" dataDxfId="81"/>
    <tableColumn id="9" name="统计结束时间" dataDxfId="80">
      <calculatedColumnFormula>TODAY()</calculatedColumnFormula>
    </tableColumn>
    <tableColumn id="12" name="统计期间盈余" dataDxfId="79">
      <calculatedColumnFormula>SUMPRODUCT((Transactions[交易日期]&gt;=Summary[[#This Row],[统计开始时间]])*(Transactions[交易日期]&lt;=Summary[[#This Row],[统计结束时间]])*(Transactions[卖出盈利]))</calculatedColumnFormula>
    </tableColumn>
    <tableColumn id="10" name="统计期间交易盈亏" dataDxfId="78">
      <calculatedColumnFormula>SUMPRODUCT((Transactions[交易日期]&gt;=Summary[[#This Row],[统计开始时间]])*(Transactions[交易日期]&lt;=Summary[[#This Row],[统计结束时间]])*(Transactions[卖出盈利]))/Summary[账户投入]</calculatedColumnFormula>
    </tableColumn>
    <tableColumn id="13" name="统计期年化率" dataDxfId="77">
      <calculatedColumnFormula>Summary[统计期间交易盈亏]/(Summary[统计结束时间]-Summary[统计开始时间])*365</calculatedColumnFormula>
    </tableColumn>
    <tableColumn id="17" name="期初账户净值" dataDxfId="76">
      <calculatedColumnFormula>SUMPRODUCT((Portfolio[开仓日期]&lt;Summary[[#This Row],[统计开始时间]])*((Portfolio[清仓日期]="")+(Portfolio[清仓日期]&gt;=Summary[[#This Row],[统计开始时间]]))*Portfolio[期初辅助列])+Summary[账户投入]-SUMPRODUCT((Transactions[买卖标记]="买入")*Transactions[交易均价]*Transactions[交易量]*(Transactions[交易日期]&lt;=Summary[统计开始时间]))+SUMPRODUCT((Transactions[买卖标记]="卖出")*Transactions[交易均价]*Transactions[交易量]*(Transactions[交易日期]&lt;=Summary[统计开始时间]))</calculatedColumnFormula>
    </tableColumn>
    <tableColumn id="18" name="统计期账户净值涨幅" dataDxfId="75">
      <calculatedColumnFormula>(Summary[账户现值]-Summary[期初账户净值])/Summary[期初账户净值]</calculatedColumnFormula>
    </tableColumn>
    <tableColumn id="14" name="期初大盘" dataDxfId="74">
      <calculatedColumnFormula>SinaStockInfoGetter("sh000001",Summary[统计开始时间])</calculatedColumnFormula>
    </tableColumn>
    <tableColumn id="15" name="期末大盘" dataDxfId="73">
      <calculatedColumnFormula>SinaStockInfoGetter("sh000001",Summary[统计结束时间],"close")</calculatedColumnFormula>
    </tableColumn>
    <tableColumn id="16" name="大盘涨幅" dataDxfId="72">
      <calculatedColumnFormula>(Summary[期末大盘]-Summary[期初大盘])/Summary[期初大盘]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ransactions" displayName="Transactions" ref="A1:M2" totalsRowShown="0" headerRowDxfId="71" dataDxfId="70" tableBorderDxfId="69">
  <autoFilter ref="A1:M2"/>
  <tableColumns count="13">
    <tableColumn id="9" name="序号" dataDxfId="68"/>
    <tableColumn id="13" name="市场" dataDxfId="67"/>
    <tableColumn id="12" name="股票代码" dataDxfId="66"/>
    <tableColumn id="1" name="交易日期" dataDxfId="65"/>
    <tableColumn id="2" name="买卖标记" dataDxfId="64"/>
    <tableColumn id="3" name="成交价" dataDxfId="63"/>
    <tableColumn id="4" name="交易量" dataDxfId="62"/>
    <tableColumn id="5" name="交易税费" dataDxfId="61">
      <calculatedColumnFormula>MAX(5,(Transactions[[#This Row],[成交价]]*Transactions[[#This Row],[交易量]]*Summary[单向手续费率]))+ROUNDUP(Transactions[[#This Row],[成交价]]/1000,0)+IF(Transactions[[#This Row],[买卖标记]]="卖出",0.001*Transactions[[#This Row],[成交价]]*Transactions[[#This Row],[交易量]],0)</calculatedColumnFormula>
    </tableColumn>
    <tableColumn id="6" name="交易均价" dataDxfId="60">
      <calculatedColumnFormula>IF(Transactions[[#This Row],[买卖标记]]="买入",(Transactions[[#This Row],[成交价]]*Transactions[[#This Row],[交易量]]+Transactions[[#This Row],[交易税费]])/Transactions[[#This Row],[交易量]],(Transactions[[#This Row],[成交价]]*Transactions[[#This Row],[交易量]]-Transactions[[#This Row],[交易税费]])/Transactions[[#This Row],[交易量]])</calculatedColumnFormula>
    </tableColumn>
    <tableColumn id="7" name="成交总金额" dataDxfId="59">
      <calculatedColumnFormula>Transactions[[#This Row],[交易量]]*Transactions[[#This Row],[交易均价]]</calculatedColumnFormula>
    </tableColumn>
    <tableColumn id="10" name="卖出盈利" dataDxfId="58">
      <calculatedColumnFormula>IF(AND(Transactions[[#This Row],[买卖标记]]="卖出",SUMPRODUCT((Portfolio[开仓日期]&lt;Transactions[[#This Row],[交易日期]])*(Transactions[[#This Row],[交易日期]]&lt;=Portfolio[辅助列])*(Portfolio[股票代码]=Transactions[[#This Row],[股票代码]])*Portfolio[持仓份数])=0),Transactions[[#This Row],[成交总金额]]-(SUMPRODUCT(Portfolio[持仓成本]*(Portfolio[开仓日期]&lt;Transactions[[#This Row],[交易日期]])*(Transactions[[#This Row],[交易日期]]&lt;=Portfolio[辅助列])*(Portfolio[股票代码]=Transactions[[#This Row],[股票代码]]))*Transactions[[#This Row],[交易量]]),0)</calculatedColumnFormula>
    </tableColumn>
    <tableColumn id="11" name="卖出盈利率" dataDxfId="57">
      <calculatedColumnFormula>IF(Transactions[[#This Row],[买卖标记]]="卖出",Transactions[[#This Row],[卖出盈利]]/(SUMPRODUCT(Portfolio[持仓成本]*(Portfolio[开仓日期]&lt;Transactions[[#This Row],[交易日期]])*(Transactions[[#This Row],[交易日期]]&lt;=Portfolio[辅助列])*(Transactions[[#This Row],[股票代码]]=Portfolio[股票代码]))*Transactions[[#This Row],[交易量]]),0)</calculatedColumnFormula>
    </tableColumn>
    <tableColumn id="8" name="记录辅助列" dataDxfId="5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Balance" displayName="Balance" ref="A1:R5" totalsRowShown="0" headerRowDxfId="55" dataDxfId="54">
  <autoFilter ref="A1:R5"/>
  <tableColumns count="18">
    <tableColumn id="1" name="日期" dataDxfId="53"/>
    <tableColumn id="2" name="充值方向" dataDxfId="52"/>
    <tableColumn id="3" name="金额" dataDxfId="51"/>
    <tableColumn id="4" name="账户充值净额" dataDxfId="50">
      <calculatedColumnFormula>SUMPRODUCT(Balance[金额]*(Balance[充值方向]="充值")*(Balance[日期]&lt;=Balance[[#This Row],[日期]]))-SUMPRODUCT(Balance[金额]*(Balance[充值方向]="取现")*(Balance[日期]&lt;=Balance[[#This Row],[日期]]))</calculatedColumnFormula>
    </tableColumn>
    <tableColumn id="8" name="持股市值" dataDxfId="49"/>
    <tableColumn id="9" name="交易现金流" dataDxfId="48">
      <calculatedColumnFormula>SUMPRODUCT((Transactions[买卖标记]="卖出")*Transactions[交易均价]*Transactions[交易量]*(Transactions[交易日期]&lt;=Balance[[#This Row],[日期]]))-SUMPRODUCT((Transactions[买卖标记]="买入")*Transactions[交易均价]*Transactions[交易量]*(Transactions[交易日期]&lt;=Balance[[#This Row],[日期]]))</calculatedColumnFormula>
    </tableColumn>
    <tableColumn id="5" name="账户实际额度(收盘时)" dataDxfId="47">
      <calculatedColumnFormula>Balance[[#This Row],[账户充值净额]]+Balance[[#This Row],[交易现金流]]+Balance[[#This Row],[持股市值]]</calculatedColumnFormula>
    </tableColumn>
    <tableColumn id="10" name="仓位" dataDxfId="46">
      <calculatedColumnFormula>Balance[[#This Row],[持股市值]]/Balance[[#This Row],[账户实际额度(收盘时)]]</calculatedColumnFormula>
    </tableColumn>
    <tableColumn id="6" name="本期盈亏" dataDxfId="45">
      <calculatedColumnFormula>Balance[[#This Row],[账户实际额度(收盘时)]]-Balance[[#This Row],[账户充值净额]]</calculatedColumnFormula>
    </tableColumn>
    <tableColumn id="7" name="本期收益率" dataDxfId="44">
      <calculatedColumnFormula>Balance[[#This Row],[本期盈亏]]/Balance[[#This Row],[账户充值净额]]</calculatedColumnFormula>
    </tableColumn>
    <tableColumn id="11" name="年化率" dataDxfId="43">
      <calculatedColumnFormula>(Balance[[#This Row],[账户实际额度(收盘时)]]+IF(Balance[[#This Row],[充值方向]]="取现",Balance[[#This Row],[金额]],-Balance[[#This Row],[金额]])-G1)/G1</calculatedColumnFormula>
    </tableColumn>
    <tableColumn id="13" name="过去一期收益" dataDxfId="42"/>
    <tableColumn id="12" name="大盘指数" dataDxfId="41">
      <calculatedColumnFormula>SinaStockInfoGetter("sh000001",Balance[[#This Row],[日期]])</calculatedColumnFormula>
    </tableColumn>
    <tableColumn id="14" name="大盘与上期比" dataDxfId="40"/>
    <tableColumn id="15" name="个人投资曲线" dataDxfId="39">
      <calculatedColumnFormula>100</calculatedColumnFormula>
    </tableColumn>
    <tableColumn id="16" name="大盘曲线" dataDxfId="38"/>
    <tableColumn id="17" name="净值" dataDxfId="37">
      <calculatedColumnFormula>Balance[[#This Row],[账户实际额度(收盘时)]]/Balance[[#This Row],[账户充值净额]]</calculatedColumnFormula>
    </tableColumn>
    <tableColumn id="18" name="大盘相对净值" dataDxfId="36">
      <calculatedColumnFormula>Balance[[#This Row],[大盘指数]]/M1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" name="Portfolio" displayName="Portfolio" ref="A1:Z2" totalsRowShown="0" headerRowDxfId="31" dataDxfId="30">
  <autoFilter ref="A1:Z2"/>
  <tableColumns count="26">
    <tableColumn id="15" name="持仓编号" dataDxfId="29"/>
    <tableColumn id="21" name="股票代码" dataDxfId="28"/>
    <tableColumn id="1" name="现价/清仓均价" dataDxfId="27">
      <calculatedColumnFormula>IF(Portfolio[[#This Row],[清仓日期]]="",SinaStockInfoGetter(Portfolio[[#This Row],[股票代码]], TODAY()),SUMPRODUCT(Transactions[成交价]*Transactions[交易量]*(Transactions[买卖标记]="卖出")*(Transactions[交易日期]&lt;=Portfolio[[#This Row],[清仓日期]])*(Transactions[交易日期]&gt;Portfolio[[#This Row],[开仓日期]])*(Transactions[股票代码]=Portfolio[[#This Row],[股票代码]]))/SUMPRODUCT(Transactions[交易量]*(Transactions[买卖标记]="卖出")*(Transactions[交易日期]&lt;=Portfolio[[#This Row],[清仓日期]])*(Transactions[交易日期]&gt;Portfolio[[#This Row],[开仓日期]])*(Transactions[股票代码]=Portfolio[[#This Row],[股票代码]])))</calculatedColumnFormula>
    </tableColumn>
    <tableColumn id="2" name="持仓成本" dataDxfId="26">
      <calculatedColumnFormula>IF(Portfolio[[#This Row],[清仓日期]]&lt;&gt;"",SUMPRODUCT(Transactions[成交总金额]*(Transactions[买卖标记]="买入")*(Transactions[交易日期]&lt;Portfolio[[#This Row],[清仓日期]])*(Transactions[交易日期]&gt;=Portfolio[[#This Row],[开仓日期]])*(Transactions[股票代码]=Portfolio[[#This Row],[股票代码]]))/SUMPRODUCT(Transactions[交易量]*(Transactions[买卖标记]="买入")*(Transactions[交易日期]&lt;Portfolio[[#This Row],[清仓日期]])*(Transactions[交易日期]&gt;=Portfolio[[#This Row],[开仓日期]])*(Transactions[股票代码]=Portfolio[[#This Row],[股票代码]])),(SUMPRODUCT(Transactions[成交总金额]*(Transactions[买卖标记]="买入")*(Transactions[交易日期]&gt;=Portfolio[[#This Row],[开仓日期]])*(Transactions[股票代码]=Portfolio[[#This Row],[股票代码]]))-SUMPRODUCT(Transactions[成交总金额]*(Transactions[买卖标记]="卖出")*(Transactions[交易日期]&gt;=Portfolio[[#This Row],[开仓日期]])*(Transactions[股票代码]=Portfolio[[#This Row],[股票代码]])))/(SUMPRODUCT(Transactions[交易量]*(Transactions[买卖标记]="买入")*(Transactions[交易日期]&gt;=Portfolio[[#This Row],[开仓日期]])*(Transactions[股票代码]=Portfolio[[#This Row],[股票代码]]))-SUMPRODUCT(Transactions[交易量]*(Transactions[买卖标记]="卖出")*(Transactions[交易日期]&gt;=Portfolio[[#This Row],[开仓日期]])*(Transactions[股票代码]=Portfolio[[#This Row],[股票代码]]))))</calculatedColumnFormula>
    </tableColumn>
    <tableColumn id="3" name="累计买入" dataDxfId="25">
      <calculatedColumnFormula>IF(Portfolio[[#This Row],[清仓日期]]&lt;&gt;"",SUMPRODUCT(Transactions[交易量]*(Transactions[买卖标记]="买入")*(Transactions[交易日期]&lt;Portfolio[[#This Row],[清仓日期]])*(Transactions[交易日期]&gt;=Portfolio[[#This Row],[开仓日期]])*(Transactions[股票代码]=Portfolio[[#This Row],[股票代码]])),SUMPRODUCT(Transactions[交易量]*(Transactions[买卖标记]="买入")*(Transactions[交易日期]&gt;=Portfolio[[#This Row],[开仓日期]])*(Transactions[股票代码]=Portfolio[[#This Row],[股票代码]])))</calculatedColumnFormula>
    </tableColumn>
    <tableColumn id="16" name="累计卖出" dataDxfId="24">
      <calculatedColumnFormula>IF(Portfolio[[#This Row],[清仓日期]]&lt;&gt;"",SUMPRODUCT(Transactions[交易量]*(Transactions[买卖标记]="卖出")*(Transactions[交易日期]&lt;=Portfolio[[#This Row],[清仓日期]])*(Transactions[交易日期]&gt;=Portfolio[[#This Row],[开仓日期]])*(Transactions[股票代码]=Portfolio[[#This Row],[股票代码]])),SUMPRODUCT(Transactions[交易量]*(Transactions[买卖标记]="卖出")*(Transactions[交易日期]&gt;=Portfolio[[#This Row],[开仓日期]])*(Transactions[股票代码]=Portfolio[[#This Row],[股票代码]])))</calculatedColumnFormula>
    </tableColumn>
    <tableColumn id="17" name="持仓份数" dataDxfId="23">
      <calculatedColumnFormula>Portfolio[[#This Row],[累计买入]]-Portfolio[[#This Row],[累计卖出]]</calculatedColumnFormula>
    </tableColumn>
    <tableColumn id="4" name="浮动盈亏" dataDxfId="22">
      <calculatedColumnFormula>IF(AND(Portfolio[[#This Row],[持仓成本]]&lt;&gt;0,Portfolio[[#This Row],[持仓份数]]&lt;&gt;0),(Portfolio[[#This Row],[现价/清仓均价]]-Portfolio[[#This Row],[持仓成本]])*Portfolio[[#This Row],[持仓份数]]-(MAX(5,(Portfolio[[#This Row],[现价/清仓均价]]*Portfolio[[#This Row],[持仓份数]]*Summary[单向手续费率]))+ROUNDUP(Portfolio[[#This Row],[现价/清仓均价]]/1000,0)+0.001*Portfolio[[#This Row],[现价/清仓均价]]*Portfolio[[#This Row],[持仓份数]]),"-")</calculatedColumnFormula>
    </tableColumn>
    <tableColumn id="14" name="浮盈率" dataDxfId="21">
      <calculatedColumnFormula>IF(AND(Portfolio[浮动盈亏]&lt;&gt;0,Portfolio[浮动盈亏]&lt;&gt;"-"),(Portfolio[[#This Row],[现价/清仓均价]]-Portfolio[[#This Row],[持仓成本]])/Portfolio[[#This Row],[持仓成本]],"-")</calculatedColumnFormula>
    </tableColumn>
    <tableColumn id="5" name="持仓市值" dataDxfId="20">
      <calculatedColumnFormula>Portfolio[[#This Row],[现价/清仓均价]]*Portfolio[[#This Row],[持仓份数]]</calculatedColumnFormula>
    </tableColumn>
    <tableColumn id="6" name="保本价" dataDxfId="19">
      <calculatedColumnFormula>(Portfolio[持仓成本]*Portfolio[累计买入]+(MAX(5,(Portfolio[现价/清仓均价]*Portfolio[累计买入]*Summary[单向手续费率]))+ROUNDUP(Portfolio[现价/清仓均价]/1000,0)+0.001*Portfolio[现价/清仓均价]*Portfolio[累计买入]))/Portfolio[累计买入]</calculatedColumnFormula>
    </tableColumn>
    <tableColumn id="7" name="仓位" dataDxfId="18">
      <calculatedColumnFormula>IF(Portfolio[[#This Row],[持仓份数]]=0,"-",Portfolio[[#This Row],[持仓市值]]/Summary[账户现值])</calculatedColumnFormula>
    </tableColumn>
    <tableColumn id="11" name="开仓日期" dataDxfId="17"/>
    <tableColumn id="12" name="清仓日期" dataDxfId="16"/>
    <tableColumn id="18" name="持仓总盈利" dataDxfId="15">
      <calculatedColumnFormula>IF(Portfolio[[#This Row],[清仓日期]]&lt;&gt;"",SUMPRODUCT((Transactions[交易日期]&gt;=Portfolio[[#This Row],[开仓日期]])*(Transactions[交易日期]&lt;=Portfolio[[#This Row],[清仓日期]])*(Portfolio[[#This Row],[股票代码]]=Transactions[股票代码])*(Transactions[买卖标记]="卖出")*Transactions[交易均价]*Transactions[交易量])-SUMPRODUCT((Transactions[交易日期]&gt;=Portfolio[[#This Row],[开仓日期]])*(Transactions[交易日期]&lt;=Portfolio[[#This Row],[清仓日期]])*(Portfolio[[#This Row],[股票代码]]=Transactions[股票代码])*(Transactions[买卖标记]="买入")*Transactions[交易均价]*Transactions[交易量]),0)</calculatedColumnFormula>
    </tableColumn>
    <tableColumn id="19" name="持仓收益率" dataDxfId="14">
      <calculatedColumnFormula>Portfolio[[#This Row],[持仓总盈利]]/(Portfolio[[#This Row],[持仓成本]]*Portfolio[[#This Row],[累计买入]])</calculatedColumnFormula>
    </tableColumn>
    <tableColumn id="9" name="持仓盈亏占总资金比" dataDxfId="13">
      <calculatedColumnFormula>IF(Portfolio[[#This Row],[浮动盈亏]]="-","-",Portfolio[[#This Row],[浮动盈亏]]/Summary[账户现值])</calculatedColumnFormula>
    </tableColumn>
    <tableColumn id="20" name="持仓年化率" dataDxfId="12">
      <calculatedColumnFormula>IF(ISNUMBER(Portfolio[[#This Row],[累计持仓天数]]),Portfolio[[#This Row],[持仓收益率]]/Portfolio[[#This Row],[累计持仓天数]]*365,"-")</calculatedColumnFormula>
    </tableColumn>
    <tableColumn id="13" name="累计持仓天数" dataDxfId="11">
      <calculatedColumnFormula>IF(Portfolio[清仓日期]&lt;&gt;"",ROUNDUP(Portfolio[清仓日期]-Portfolio[开仓日期],0),"-")</calculatedColumnFormula>
    </tableColumn>
    <tableColumn id="26" name="设定止损价" dataDxfId="10"/>
    <tableColumn id="27" name="止损价盈利率" dataDxfId="9">
      <calculatedColumnFormula>IF(Portfolio[[#This Row],[设定止损价]]&lt;&gt;0,(Portfolio[[#This Row],[设定止损价]]-Portfolio[[#This Row],[持仓成本]])/Portfolio[[#This Row],[持仓成本]],0)</calculatedColumnFormula>
    </tableColumn>
    <tableColumn id="28" name="设定止盈价" dataDxfId="8"/>
    <tableColumn id="29" name="止盈价盈利" dataDxfId="7">
      <calculatedColumnFormula>IF(Portfolio[[#This Row],[设定止盈价]]&lt;&gt;0,(Portfolio[[#This Row],[设定止盈价]]-Portfolio[[#This Row],[持仓成本]])/Portfolio[[#This Row],[持仓成本]],0)</calculatedColumnFormula>
    </tableColumn>
    <tableColumn id="10" name="辅助列" dataDxfId="6">
      <calculatedColumnFormula>IF(Portfolio[[#This Row],[清仓日期]]="",TODAY(),Portfolio[[#This Row],[清仓日期]])</calculatedColumnFormula>
    </tableColumn>
    <tableColumn id="8" name="期初辅助列" dataDxfId="5">
      <calculatedColumnFormula>IF(AND(Portfolio[[#This Row],[开仓日期]]&lt;Summary[统计开始时间],OR(Portfolio[[#This Row],[清仓日期]]="",Portfolio[[#This Row],[清仓日期]]&gt;=Summary[统计开始时间])),_xlfn.NUMBERVALUE(SinaStockInfoGetter(Portfolio[[#This Row],[股票代码]], Summary[统计开始时间],"open"))*(SUMPRODUCT((Transactions[交易日期]&lt;Summary[统计开始时间])*(Transactions[股票代码]=Portfolio[[#This Row],[股票代码]])*Transactions[交易量]*(Transactions[买卖标记]="买入"))-SUMPRODUCT((Transactions[交易日期]&lt;Summary[统计开始时间])*(Transactions[股票代码]=Portfolio[[#This Row],[股票代码]])*Transactions[交易量]*(Transactions[买卖标记]="卖出"))),0)</calculatedColumnFormula>
    </tableColumn>
    <tableColumn id="25" name="持仓计算辅助列" dataDxfId="4">
      <calculatedColumnFormula>IF(AND(Portfolio[[#This Row],[开仓日期]]&lt;=HoldingHelper[持仓计算日],OR(Portfolio[[#This Row],[清仓日期]]="",Portfolio[[#This Row],[清仓日期]]&gt;HoldingHelper[持仓计算日])),_xlfn.NUMBERVALUE(SinaStockInfoGetter(Portfolio[[#This Row],[股票代码]], HoldingHelper[持仓计算日],"close"))*(SUMPRODUCT((Transactions[交易日期]&lt;=HoldingHelper[持仓计算日])*(Transactions[股票代码]=Portfolio[[#This Row],[股票代码]])*Transactions[交易量]*(Transactions[买卖标记]="买入"))-SUMPRODUCT((Transactions[交易日期]&lt;=HoldingHelper[持仓计算日])*(Transactions[股票代码]=Portfolio[[#This Row],[股票代码]])*Transactions[交易量]*(Transactions[买卖标记]="卖出"))),0)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HoldingHelper" displayName="HoldingHelper" ref="A1:B2" totalsRowShown="0" headerRowDxfId="3" dataDxfId="2">
  <autoFilter ref="A1:B2"/>
  <tableColumns count="2">
    <tableColumn id="1" name="持仓计算日" dataDxfId="1"/>
    <tableColumn id="2" name="持仓市值" dataDxfId="0">
      <calculatedColumnFormula>SUMPRODUCT((Portfolio[开仓日期]&lt;=HoldingHelper[持仓计算日])*((Portfolio[清仓日期]="")+(Portfolio[清仓日期]&gt;=HoldingHelper[持仓计算日]))*Portfolio[持仓计算辅助列])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11"/>
  <dimension ref="A1:R2"/>
  <sheetViews>
    <sheetView tabSelected="1" workbookViewId="0">
      <selection activeCell="C10" sqref="C10"/>
    </sheetView>
  </sheetViews>
  <sheetFormatPr defaultRowHeight="16.5"/>
  <cols>
    <col min="9" max="9" width="9.88671875" customWidth="1"/>
  </cols>
  <sheetData>
    <row r="1" spans="1:18">
      <c r="A1" s="2" t="s">
        <v>59</v>
      </c>
      <c r="B1" s="2" t="s">
        <v>60</v>
      </c>
      <c r="C1" s="2" t="s">
        <v>61</v>
      </c>
      <c r="D1" s="2" t="s">
        <v>62</v>
      </c>
      <c r="E1" s="2" t="s">
        <v>63</v>
      </c>
      <c r="F1" s="2" t="s">
        <v>64</v>
      </c>
      <c r="G1" s="2" t="s">
        <v>65</v>
      </c>
      <c r="H1" s="2" t="s">
        <v>66</v>
      </c>
      <c r="I1" s="2" t="s">
        <v>67</v>
      </c>
      <c r="J1" s="2" t="s">
        <v>68</v>
      </c>
      <c r="K1" s="2" t="s">
        <v>69</v>
      </c>
      <c r="L1" s="5" t="s">
        <v>70</v>
      </c>
      <c r="M1" s="5" t="s">
        <v>71</v>
      </c>
      <c r="N1" s="5" t="s">
        <v>72</v>
      </c>
      <c r="O1" s="5" t="s">
        <v>73</v>
      </c>
      <c r="P1" s="2" t="s">
        <v>74</v>
      </c>
      <c r="Q1" s="2" t="s">
        <v>75</v>
      </c>
      <c r="R1" s="2" t="s">
        <v>76</v>
      </c>
    </row>
    <row r="2" spans="1:18">
      <c r="A2" s="2">
        <v>100000</v>
      </c>
      <c r="B2" s="2">
        <f>SUMPRODUCT(Portfolio[持仓成本]*Portfolio[持仓份数])</f>
        <v>32920.74</v>
      </c>
      <c r="C2" s="10">
        <f ca="1">Summary[持股市值]/Summary[账户现值]</f>
        <v>0.37866135799745199</v>
      </c>
      <c r="D2" s="8">
        <f ca="1">SUMPRODUCT(Portfolio[现价/清仓均价]*Portfolio[持仓份数])</f>
        <v>40880</v>
      </c>
      <c r="E2" s="8">
        <f ca="1">Summary[持股市值]+Summary[可用资金]</f>
        <v>107959.26000000001</v>
      </c>
      <c r="F2" s="10">
        <f ca="1">(Summary[持股市值]-Summary[持股成本])/Summary[持股成本]</f>
        <v>0.24177038547736177</v>
      </c>
      <c r="G2" s="8">
        <f>Summary[账户投入]-SUMPRODUCT((Transactions[买卖标记]="买入")*Transactions[交易均价]*Transactions[交易量])+SUMPRODUCT((Transactions[买卖标记]="卖出")*Transactions[交易均价]*Transactions[交易量])</f>
        <v>67079.260000000009</v>
      </c>
      <c r="H2" s="10">
        <v>5.9999999999999995E-4</v>
      </c>
      <c r="I2" s="12">
        <v>42005</v>
      </c>
      <c r="J2" s="12">
        <f ca="1">TODAY()</f>
        <v>42160</v>
      </c>
      <c r="K2" s="11">
        <f ca="1">SUMPRODUCT((Transactions[交易日期]&gt;=Summary[[#This Row],[统计开始时间]])*(Transactions[交易日期]&lt;=Summary[[#This Row],[统计结束时间]])*(Transactions[卖出盈利]))</f>
        <v>0</v>
      </c>
      <c r="L2" s="10">
        <f ca="1">SUMPRODUCT((Transactions[交易日期]&gt;=Summary[[#This Row],[统计开始时间]])*(Transactions[交易日期]&lt;=Summary[[#This Row],[统计结束时间]])*(Transactions[卖出盈利]))/Summary[账户投入]</f>
        <v>0</v>
      </c>
      <c r="M2" s="10">
        <f ca="1">Summary[统计期间交易盈亏]/(Summary[统计结束时间]-Summary[统计开始时间])*365</f>
        <v>0</v>
      </c>
      <c r="N2" s="8">
        <f>SUMPRODUCT((Portfolio[开仓日期]&lt;Summary[[#This Row],[统计开始时间]])*((Portfolio[清仓日期]="")+(Portfolio[清仓日期]&gt;=Summary[[#This Row],[统计开始时间]]))*Portfolio[期初辅助列])+Summary[账户投入]-SUMPRODUCT((Transactions[买卖标记]="买入")*Transactions[交易均价]*Transactions[交易量]*(Transactions[交易日期]&lt;=Summary[统计开始时间]))+SUMPRODUCT((Transactions[买卖标记]="卖出")*Transactions[交易均价]*Transactions[交易量]*(Transactions[交易日期]&lt;=Summary[统计开始时间]))</f>
        <v>100000</v>
      </c>
      <c r="O2" s="10">
        <f ca="1">(Summary[账户现值]-Summary[期初账户净值])/Summary[期初账户净值]</f>
        <v>7.9592600000000097E-2</v>
      </c>
      <c r="P2" s="8" t="str">
        <f>SinaStockInfoGetter("sh000001",Summary[统计开始时间])</f>
        <v>3234.677</v>
      </c>
      <c r="Q2" s="10" t="str">
        <f ca="1">SinaStockInfoGetter("sh000001",Summary[统计结束时间],"close")</f>
        <v>4947.102</v>
      </c>
      <c r="R2" s="10">
        <f ca="1">(Summary[期末大盘]-Summary[期初大盘])/Summary[期初大盘]</f>
        <v>0.52939597987681608</v>
      </c>
    </row>
  </sheetData>
  <phoneticPr fontId="1" type="noConversion"/>
  <conditionalFormatting sqref="L2:O2">
    <cfRule type="expression" dxfId="94" priority="3">
      <formula>$L$3&lt;0</formula>
    </cfRule>
  </conditionalFormatting>
  <conditionalFormatting sqref="F2">
    <cfRule type="expression" dxfId="93" priority="2">
      <formula>$F$3&lt;0</formula>
    </cfRule>
  </conditionalFormatting>
  <conditionalFormatting sqref="O2">
    <cfRule type="expression" dxfId="92" priority="1">
      <formula>$O$3&lt;$R$3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emo">
                <anchor moveWithCells="1" sizeWithCells="1">
                  <from>
                    <xdr:col>4</xdr:col>
                    <xdr:colOff>523875</xdr:colOff>
                    <xdr:row>6</xdr:row>
                    <xdr:rowOff>66675</xdr:rowOff>
                  </from>
                  <to>
                    <xdr:col>7</xdr:col>
                    <xdr:colOff>342900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1"/>
  <dimension ref="A1:M2"/>
  <sheetViews>
    <sheetView workbookViewId="0">
      <selection activeCell="D3" sqref="D3:G3"/>
    </sheetView>
  </sheetViews>
  <sheetFormatPr defaultRowHeight="16.5"/>
  <cols>
    <col min="3" max="3" width="8.88671875" style="25"/>
    <col min="4" max="4" width="9.77734375" bestFit="1" customWidth="1"/>
  </cols>
  <sheetData>
    <row r="1" spans="1:13">
      <c r="A1" s="2" t="s">
        <v>26</v>
      </c>
      <c r="B1" s="2" t="s">
        <v>27</v>
      </c>
      <c r="C1" s="2" t="s">
        <v>28</v>
      </c>
      <c r="D1" s="2" t="s">
        <v>29</v>
      </c>
      <c r="E1" s="13" t="s">
        <v>30</v>
      </c>
      <c r="F1" s="14" t="s">
        <v>31</v>
      </c>
      <c r="G1" s="14" t="s">
        <v>32</v>
      </c>
      <c r="H1" s="13" t="s">
        <v>33</v>
      </c>
      <c r="I1" s="14" t="s">
        <v>34</v>
      </c>
      <c r="J1" s="14" t="s">
        <v>35</v>
      </c>
      <c r="K1" s="2" t="s">
        <v>36</v>
      </c>
      <c r="L1" s="2" t="s">
        <v>37</v>
      </c>
      <c r="M1" s="1" t="s">
        <v>78</v>
      </c>
    </row>
    <row r="2" spans="1:13">
      <c r="A2" s="15">
        <v>1</v>
      </c>
      <c r="B2" s="15" t="s">
        <v>38</v>
      </c>
      <c r="C2" s="3" t="s">
        <v>80</v>
      </c>
      <c r="D2" s="4">
        <v>42009</v>
      </c>
      <c r="E2" s="13" t="s">
        <v>39</v>
      </c>
      <c r="F2" s="14">
        <v>16.45</v>
      </c>
      <c r="G2" s="14">
        <v>2000</v>
      </c>
      <c r="H2" s="16">
        <f>MAX(5,(Transactions[[#This Row],[成交价]]*Transactions[[#This Row],[交易量]]*Summary[单向手续费率]))+ROUNDUP(Transactions[[#This Row],[成交价]]/1000,0)+IF(Transactions[[#This Row],[买卖标记]]="卖出",0.001*Transactions[[#This Row],[成交价]]*Transactions[[#This Row],[交易量]],0)</f>
        <v>20.74</v>
      </c>
      <c r="I2" s="16">
        <f>IF(Transactions[[#This Row],[买卖标记]]="买入",(Transactions[[#This Row],[成交价]]*Transactions[[#This Row],[交易量]]+Transactions[[#This Row],[交易税费]])/Transactions[[#This Row],[交易量]],(Transactions[[#This Row],[成交价]]*Transactions[[#This Row],[交易量]]-Transactions[[#This Row],[交易税费]])/Transactions[[#This Row],[交易量]])</f>
        <v>16.460369999999998</v>
      </c>
      <c r="J2" s="16">
        <f>Transactions[[#This Row],[交易量]]*Transactions[[#This Row],[交易均价]]</f>
        <v>32920.74</v>
      </c>
      <c r="K2" s="17">
        <f ca="1">IF(AND(Transactions[[#This Row],[买卖标记]]="卖出",SUMPRODUCT((Portfolio[开仓日期]&lt;Transactions[[#This Row],[交易日期]])*(Transactions[[#This Row],[交易日期]]&lt;=Portfolio[辅助列])*(Portfolio[股票代码]=Transactions[[#This Row],[股票代码]])*Portfolio[持仓份数])=0),Transactions[[#This Row],[成交总金额]]-(SUMPRODUCT(Portfolio[持仓成本]*(Portfolio[开仓日期]&lt;Transactions[[#This Row],[交易日期]])*(Transactions[[#This Row],[交易日期]]&lt;=Portfolio[辅助列])*(Portfolio[股票代码]=Transactions[[#This Row],[股票代码]]))*Transactions[[#This Row],[交易量]]),0)</f>
        <v>0</v>
      </c>
      <c r="L2" s="18">
        <f>IF(Transactions[[#This Row],[买卖标记]]="卖出",Transactions[[#This Row],[卖出盈利]]/(SUMPRODUCT(Portfolio[持仓成本]*(Portfolio[开仓日期]&lt;Transactions[[#This Row],[交易日期]])*(Transactions[[#This Row],[交易日期]]&lt;=Portfolio[辅助列])*(Transactions[[#This Row],[股票代码]]=Portfolio[股票代码]))*Transactions[[#This Row],[交易量]]),0)</f>
        <v>0</v>
      </c>
      <c r="M2" s="24">
        <v>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1"/>
  <dimension ref="A1:R5"/>
  <sheetViews>
    <sheetView workbookViewId="0">
      <selection activeCell="A6" sqref="A6"/>
    </sheetView>
  </sheetViews>
  <sheetFormatPr defaultRowHeight="16.5"/>
  <cols>
    <col min="1" max="1" width="9.77734375" bestFit="1" customWidth="1"/>
    <col min="6" max="6" width="10" customWidth="1"/>
  </cols>
  <sheetData>
    <row r="1" spans="1:18">
      <c r="A1" s="19" t="s">
        <v>40</v>
      </c>
      <c r="B1" s="19" t="s">
        <v>41</v>
      </c>
      <c r="C1" s="19" t="s">
        <v>42</v>
      </c>
      <c r="D1" s="19" t="s">
        <v>43</v>
      </c>
      <c r="E1" s="19" t="s">
        <v>44</v>
      </c>
      <c r="F1" s="19" t="s">
        <v>45</v>
      </c>
      <c r="G1" s="19" t="s">
        <v>46</v>
      </c>
      <c r="H1" s="19" t="s">
        <v>11</v>
      </c>
      <c r="I1" s="19" t="s">
        <v>47</v>
      </c>
      <c r="J1" s="19" t="s">
        <v>48</v>
      </c>
      <c r="K1" s="19" t="s">
        <v>49</v>
      </c>
      <c r="L1" s="19" t="s">
        <v>50</v>
      </c>
      <c r="M1" s="19" t="s">
        <v>51</v>
      </c>
      <c r="N1" s="19" t="s">
        <v>52</v>
      </c>
      <c r="O1" s="19" t="s">
        <v>53</v>
      </c>
      <c r="P1" s="19" t="s">
        <v>54</v>
      </c>
      <c r="Q1" s="19" t="s">
        <v>55</v>
      </c>
      <c r="R1" s="19" t="s">
        <v>56</v>
      </c>
    </row>
    <row r="2" spans="1:18">
      <c r="A2" s="4">
        <v>42005</v>
      </c>
      <c r="B2" s="2" t="s">
        <v>57</v>
      </c>
      <c r="C2" s="2">
        <v>150000</v>
      </c>
      <c r="D2" s="2">
        <f>SUMPRODUCT(Balance[金额]*(Balance[充值方向]="充值")*(Balance[日期]&lt;=Balance[[#This Row],[日期]]))-SUMPRODUCT(Balance[金额]*(Balance[充值方向]="取现")*(Balance[日期]&lt;=Balance[[#This Row],[日期]]))</f>
        <v>150000</v>
      </c>
      <c r="E2" s="2">
        <v>0</v>
      </c>
      <c r="F2" s="8">
        <f>SUMPRODUCT((Transactions[买卖标记]="卖出")*Transactions[交易均价]*Transactions[交易量]*(Transactions[交易日期]&lt;=Balance[[#This Row],[日期]]))-SUMPRODUCT((Transactions[买卖标记]="买入")*Transactions[交易均价]*Transactions[交易量]*(Transactions[交易日期]&lt;=Balance[[#This Row],[日期]]))</f>
        <v>0</v>
      </c>
      <c r="G2" s="8">
        <f>Balance[[#This Row],[账户充值净额]]+Balance[[#This Row],[交易现金流]]+Balance[[#This Row],[持股市值]]</f>
        <v>150000</v>
      </c>
      <c r="H2" s="10">
        <f>Balance[[#This Row],[持股市值]]/Balance[[#This Row],[账户实际额度(收盘时)]]</f>
        <v>0</v>
      </c>
      <c r="I2" s="2">
        <f>Balance[[#This Row],[账户实际额度(收盘时)]]-Balance[[#This Row],[账户充值净额]]</f>
        <v>0</v>
      </c>
      <c r="J2" s="10">
        <f>Balance[[#This Row],[本期盈亏]]/Balance[[#This Row],[账户充值净额]]</f>
        <v>0</v>
      </c>
      <c r="K2" s="10" t="s">
        <v>58</v>
      </c>
      <c r="L2" s="10">
        <v>1</v>
      </c>
      <c r="M2" s="10" t="str">
        <f>SinaStockInfoGetter("sh000001",Balance[[#This Row],[日期]])</f>
        <v>3234.677</v>
      </c>
      <c r="N2" s="10">
        <v>1</v>
      </c>
      <c r="O2" s="10">
        <v>1</v>
      </c>
      <c r="P2" s="10">
        <v>1</v>
      </c>
      <c r="Q2" s="20">
        <f>Balance[[#This Row],[账户实际额度(收盘时)]]/Balance[[#This Row],[账户充值净额]]</f>
        <v>1</v>
      </c>
      <c r="R2" s="20">
        <v>1</v>
      </c>
    </row>
    <row r="3" spans="1:18">
      <c r="A3" s="4">
        <v>42036</v>
      </c>
      <c r="B3" s="2" t="s">
        <v>79</v>
      </c>
      <c r="C3" s="2">
        <v>50000</v>
      </c>
      <c r="D3" s="2">
        <f>SUMPRODUCT(Balance[金额]*(Balance[充值方向]="充值")*(Balance[日期]&lt;=Balance[[#This Row],[日期]]))-SUMPRODUCT(Balance[金额]*(Balance[充值方向]="取现")*(Balance[日期]&lt;=Balance[[#This Row],[日期]]))</f>
        <v>100000</v>
      </c>
      <c r="E3" s="23">
        <v>28680</v>
      </c>
      <c r="F3" s="8">
        <f>SUMPRODUCT((Transactions[买卖标记]="卖出")*Transactions[交易均价]*Transactions[交易量]*(Transactions[交易日期]&lt;=Balance[[#This Row],[日期]]))-SUMPRODUCT((Transactions[买卖标记]="买入")*Transactions[交易均价]*Transactions[交易量]*(Transactions[交易日期]&lt;=Balance[[#This Row],[日期]]))</f>
        <v>-32920.74</v>
      </c>
      <c r="G3" s="8">
        <f>Balance[[#This Row],[账户充值净额]]+Balance[[#This Row],[交易现金流]]+Balance[[#This Row],[持股市值]]</f>
        <v>95759.260000000009</v>
      </c>
      <c r="H3" s="10">
        <f>Balance[[#This Row],[持股市值]]/Balance[[#This Row],[账户实际额度(收盘时)]]</f>
        <v>0.29950106130728243</v>
      </c>
      <c r="I3" s="2">
        <f>Balance[[#This Row],[账户实际额度(收盘时)]]-Balance[[#This Row],[账户充值净额]]</f>
        <v>-4240.7399999999907</v>
      </c>
      <c r="J3" s="10">
        <f>Balance[[#This Row],[本期盈亏]]/Balance[[#This Row],[账户充值净额]]</f>
        <v>-4.2407399999999908E-2</v>
      </c>
      <c r="K3" s="10" t="s">
        <v>58</v>
      </c>
      <c r="L3" s="10">
        <v>1</v>
      </c>
      <c r="M3" s="10" t="str">
        <f>SinaStockInfoGetter("sh000001",Balance[[#This Row],[日期]])</f>
        <v>3210.363</v>
      </c>
      <c r="N3" s="10">
        <v>1</v>
      </c>
      <c r="O3" s="10">
        <v>1</v>
      </c>
      <c r="P3" s="10">
        <v>1</v>
      </c>
      <c r="Q3" s="20">
        <f>Balance[[#This Row],[账户实际额度(收盘时)]]/Balance[[#This Row],[账户充值净额]]</f>
        <v>0.95759260000000013</v>
      </c>
      <c r="R3" s="20">
        <v>1</v>
      </c>
    </row>
    <row r="4" spans="1:18">
      <c r="A4" s="27">
        <v>42064</v>
      </c>
      <c r="B4" s="2" t="s">
        <v>79</v>
      </c>
      <c r="C4" s="2">
        <v>0</v>
      </c>
      <c r="D4" s="2">
        <f>SUMPRODUCT(Balance[金额]*(Balance[充值方向]="充值")*(Balance[日期]&lt;=Balance[[#This Row],[日期]]))-SUMPRODUCT(Balance[金额]*(Balance[充值方向]="取现")*(Balance[日期]&lt;=Balance[[#This Row],[日期]]))</f>
        <v>100000</v>
      </c>
      <c r="E4" s="28">
        <v>29400</v>
      </c>
      <c r="F4" s="8">
        <f>SUMPRODUCT((Transactions[买卖标记]="卖出")*Transactions[交易均价]*Transactions[交易量]*(Transactions[交易日期]&lt;=Balance[[#This Row],[日期]]))-SUMPRODUCT((Transactions[买卖标记]="买入")*Transactions[交易均价]*Transactions[交易量]*(Transactions[交易日期]&lt;=Balance[[#This Row],[日期]]))</f>
        <v>-32920.74</v>
      </c>
      <c r="G4" s="8">
        <f>Balance[[#This Row],[账户充值净额]]+Balance[[#This Row],[交易现金流]]+Balance[[#This Row],[持股市值]]</f>
        <v>96479.260000000009</v>
      </c>
      <c r="H4" s="10">
        <f>Balance[[#This Row],[持股市值]]/Balance[[#This Row],[账户实际额度(收盘时)]]</f>
        <v>0.30472870542332098</v>
      </c>
      <c r="I4" s="2">
        <f>Balance[[#This Row],[账户实际额度(收盘时)]]-Balance[[#This Row],[账户充值净额]]</f>
        <v>-3520.7399999999907</v>
      </c>
      <c r="J4" s="10">
        <f>Balance[[#This Row],[本期盈亏]]/Balance[[#This Row],[账户充值净额]]</f>
        <v>-3.520739999999991E-2</v>
      </c>
      <c r="K4" s="10" t="s">
        <v>58</v>
      </c>
      <c r="L4" s="10">
        <v>1</v>
      </c>
      <c r="M4" s="10" t="str">
        <f>SinaStockInfoGetter("sh000001",Balance[[#This Row],[日期]])</f>
        <v>3310.303</v>
      </c>
      <c r="N4" s="10">
        <v>1</v>
      </c>
      <c r="O4" s="10">
        <v>1</v>
      </c>
      <c r="P4" s="10">
        <v>1</v>
      </c>
      <c r="Q4" s="20">
        <f>Balance[[#This Row],[账户实际额度(收盘时)]]/Balance[[#This Row],[账户充值净额]]</f>
        <v>0.96479260000000011</v>
      </c>
      <c r="R4" s="20">
        <v>1</v>
      </c>
    </row>
    <row r="5" spans="1:18">
      <c r="A5" s="27">
        <v>42065</v>
      </c>
      <c r="B5" s="2" t="s">
        <v>79</v>
      </c>
      <c r="C5" s="2">
        <v>0</v>
      </c>
      <c r="D5" s="2">
        <f>SUMPRODUCT(Balance[金额]*(Balance[充值方向]="充值")*(Balance[日期]&lt;=Balance[[#This Row],[日期]]))-SUMPRODUCT(Balance[金额]*(Balance[充值方向]="取现")*(Balance[日期]&lt;=Balance[[#This Row],[日期]]))</f>
        <v>100000</v>
      </c>
      <c r="E5" s="1">
        <v>29140</v>
      </c>
      <c r="F5" s="8">
        <f>SUMPRODUCT((Transactions[买卖标记]="卖出")*Transactions[交易均价]*Transactions[交易量]*(Transactions[交易日期]&lt;=Balance[[#This Row],[日期]]))-SUMPRODUCT((Transactions[买卖标记]="买入")*Transactions[交易均价]*Transactions[交易量]*(Transactions[交易日期]&lt;=Balance[[#This Row],[日期]]))</f>
        <v>-32920.74</v>
      </c>
      <c r="G5" s="8">
        <f>Balance[[#This Row],[账户充值净额]]+Balance[[#This Row],[交易现金流]]+Balance[[#This Row],[持股市值]]</f>
        <v>96219.260000000009</v>
      </c>
      <c r="H5" s="10">
        <f>Balance[[#This Row],[持股市值]]/Balance[[#This Row],[账户实际额度(收盘时)]]</f>
        <v>0.30284996995404034</v>
      </c>
      <c r="I5" s="2">
        <f>Balance[[#This Row],[账户实际额度(收盘时)]]-Balance[[#This Row],[账户充值净额]]</f>
        <v>-3780.7399999999907</v>
      </c>
      <c r="J5" s="10">
        <f>Balance[[#This Row],[本期盈亏]]/Balance[[#This Row],[账户充值净额]]</f>
        <v>-3.7807399999999908E-2</v>
      </c>
      <c r="K5" s="10" t="s">
        <v>58</v>
      </c>
      <c r="L5" s="10">
        <v>1</v>
      </c>
      <c r="M5" s="10" t="str">
        <f>SinaStockInfoGetter("sh000001",Balance[[#This Row],[日期]])</f>
        <v>3336.285</v>
      </c>
      <c r="N5" s="10">
        <v>1</v>
      </c>
      <c r="O5" s="10">
        <v>1</v>
      </c>
      <c r="P5" s="10">
        <v>1</v>
      </c>
      <c r="Q5" s="20">
        <f>Balance[[#This Row],[账户实际额度(收盘时)]]/Balance[[#This Row],[账户充值净额]]</f>
        <v>0.96219260000000006</v>
      </c>
      <c r="R5" s="20">
        <v>1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1"/>
  <dimension ref="A1:Z2"/>
  <sheetViews>
    <sheetView workbookViewId="0">
      <selection activeCell="A3" sqref="A3:Q3"/>
    </sheetView>
  </sheetViews>
  <sheetFormatPr defaultRowHeight="16.5"/>
  <cols>
    <col min="1" max="1" width="8.88671875" style="1"/>
    <col min="2" max="2" width="8.88671875" style="26"/>
    <col min="3" max="12" width="8.88671875" style="1"/>
    <col min="13" max="13" width="9.21875" style="1" customWidth="1"/>
    <col min="14" max="14" width="9.77734375" style="1" bestFit="1" customWidth="1"/>
    <col min="15" max="23" width="8.88671875" style="1"/>
    <col min="24" max="24" width="9.77734375" style="1" bestFit="1" customWidth="1"/>
    <col min="25" max="16384" width="8.88671875" style="1"/>
  </cols>
  <sheetData>
    <row r="1" spans="1:26">
      <c r="A1" s="2" t="s">
        <v>1</v>
      </c>
      <c r="B1" s="2" t="s">
        <v>2</v>
      </c>
      <c r="C1" s="2" t="s">
        <v>0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5" t="s">
        <v>25</v>
      </c>
    </row>
    <row r="2" spans="1:26">
      <c r="A2" s="6">
        <v>1</v>
      </c>
      <c r="B2" s="3" t="s">
        <v>80</v>
      </c>
      <c r="C2" s="7" t="str">
        <f ca="1">IF(Portfolio[[#This Row],[清仓日期]]="",SinaStockInfoGetter(Portfolio[[#This Row],[股票代码]], TODAY()),SUMPRODUCT(Transactions[成交价]*Transactions[交易量]*(Transactions[买卖标记]="卖出")*(Transactions[交易日期]&lt;=Portfolio[[#This Row],[清仓日期]])*(Transactions[交易日期]&gt;Portfolio[[#This Row],[开仓日期]])*(Transactions[股票代码]=Portfolio[[#This Row],[股票代码]]))/SUMPRODUCT(Transactions[交易量]*(Transactions[买卖标记]="卖出")*(Transactions[交易日期]&lt;=Portfolio[[#This Row],[清仓日期]])*(Transactions[交易日期]&gt;Portfolio[[#This Row],[开仓日期]])*(Transactions[股票代码]=Portfolio[[#This Row],[股票代码]])))</f>
        <v>20.440</v>
      </c>
      <c r="D2" s="8">
        <f>IF(Portfolio[[#This Row],[清仓日期]]&lt;&gt;"",SUMPRODUCT(Transactions[成交总金额]*(Transactions[买卖标记]="买入")*(Transactions[交易日期]&lt;Portfolio[[#This Row],[清仓日期]])*(Transactions[交易日期]&gt;=Portfolio[[#This Row],[开仓日期]])*(Transactions[股票代码]=Portfolio[[#This Row],[股票代码]]))/SUMPRODUCT(Transactions[交易量]*(Transactions[买卖标记]="买入")*(Transactions[交易日期]&lt;Portfolio[[#This Row],[清仓日期]])*(Transactions[交易日期]&gt;=Portfolio[[#This Row],[开仓日期]])*(Transactions[股票代码]=Portfolio[[#This Row],[股票代码]])),(SUMPRODUCT(Transactions[成交总金额]*(Transactions[买卖标记]="买入")*(Transactions[交易日期]&gt;=Portfolio[[#This Row],[开仓日期]])*(Transactions[股票代码]=Portfolio[[#This Row],[股票代码]]))-SUMPRODUCT(Transactions[成交总金额]*(Transactions[买卖标记]="卖出")*(Transactions[交易日期]&gt;=Portfolio[[#This Row],[开仓日期]])*(Transactions[股票代码]=Portfolio[[#This Row],[股票代码]])))/(SUMPRODUCT(Transactions[交易量]*(Transactions[买卖标记]="买入")*(Transactions[交易日期]&gt;=Portfolio[[#This Row],[开仓日期]])*(Transactions[股票代码]=Portfolio[[#This Row],[股票代码]]))-SUMPRODUCT(Transactions[交易量]*(Transactions[买卖标记]="卖出")*(Transactions[交易日期]&gt;=Portfolio[[#This Row],[开仓日期]])*(Transactions[股票代码]=Portfolio[[#This Row],[股票代码]]))))</f>
        <v>16.460369999999998</v>
      </c>
      <c r="E2" s="6">
        <f>IF(Portfolio[[#This Row],[清仓日期]]&lt;&gt;"",SUMPRODUCT(Transactions[交易量]*(Transactions[买卖标记]="买入")*(Transactions[交易日期]&lt;Portfolio[[#This Row],[清仓日期]])*(Transactions[交易日期]&gt;=Portfolio[[#This Row],[开仓日期]])*(Transactions[股票代码]=Portfolio[[#This Row],[股票代码]])),SUMPRODUCT(Transactions[交易量]*(Transactions[买卖标记]="买入")*(Transactions[交易日期]&gt;=Portfolio[[#This Row],[开仓日期]])*(Transactions[股票代码]=Portfolio[[#This Row],[股票代码]])))</f>
        <v>2000</v>
      </c>
      <c r="F2" s="6">
        <f>IF(Portfolio[[#This Row],[清仓日期]]&lt;&gt;"",SUMPRODUCT(Transactions[交易量]*(Transactions[买卖标记]="卖出")*(Transactions[交易日期]&lt;=Portfolio[[#This Row],[清仓日期]])*(Transactions[交易日期]&gt;=Portfolio[[#This Row],[开仓日期]])*(Transactions[股票代码]=Portfolio[[#This Row],[股票代码]])),SUMPRODUCT(Transactions[交易量]*(Transactions[买卖标记]="卖出")*(Transactions[交易日期]&gt;=Portfolio[[#This Row],[开仓日期]])*(Transactions[股票代码]=Portfolio[[#This Row],[股票代码]])))</f>
        <v>0</v>
      </c>
      <c r="G2" s="6">
        <f>Portfolio[[#This Row],[累计买入]]-Portfolio[[#This Row],[累计卖出]]</f>
        <v>2000</v>
      </c>
      <c r="H2" s="8">
        <f ca="1">IF(AND(Portfolio[[#This Row],[持仓成本]]&lt;&gt;0,Portfolio[[#This Row],[持仓份数]]&lt;&gt;0),(Portfolio[[#This Row],[现价/清仓均价]]-Portfolio[[#This Row],[持仓成本]])*Portfolio[[#This Row],[持仓份数]]-(MAX(5,(Portfolio[[#This Row],[现价/清仓均价]]*Portfolio[[#This Row],[持仓份数]]*Summary[单向手续费率]))+ROUNDUP(Portfolio[[#This Row],[现价/清仓均价]]/1000,0)+0.001*Portfolio[[#This Row],[现价/清仓均价]]*Portfolio[[#This Row],[持仓份数]]),"-")</f>
        <v>7892.8520000000071</v>
      </c>
      <c r="I2" s="9">
        <f ca="1">IF(AND(Portfolio[浮动盈亏]&lt;&gt;0,Portfolio[浮动盈亏]&lt;&gt;"-"),(Portfolio[[#This Row],[现价/清仓均价]]-Portfolio[[#This Row],[持仓成本]])/Portfolio[[#This Row],[持仓成本]],"-")</f>
        <v>0.24177038547736196</v>
      </c>
      <c r="J2" s="8">
        <f ca="1">Portfolio[[#This Row],[现价/清仓均价]]*Portfolio[[#This Row],[持仓份数]]</f>
        <v>40880</v>
      </c>
      <c r="K2" s="8">
        <f ca="1">(Portfolio[持仓成本]*Portfolio[累计买入]+(MAX(5,(Portfolio[现价/清仓均价]*Portfolio[累计买入]*Summary[单向手续费率]))+ROUNDUP(Portfolio[现价/清仓均价]/1000,0)+0.001*Portfolio[现价/清仓均价]*Portfolio[累计买入]))/Portfolio[累计买入]</f>
        <v>16.493573999999999</v>
      </c>
      <c r="L2" s="10">
        <f ca="1">IF(Portfolio[[#This Row],[持仓份数]]=0,"-",Portfolio[[#This Row],[持仓市值]]/Summary[账户现值])</f>
        <v>0.37866135799745199</v>
      </c>
      <c r="M2" s="4">
        <v>42009</v>
      </c>
      <c r="N2" s="4"/>
      <c r="O2" s="11">
        <f>IF(Portfolio[[#This Row],[清仓日期]]&lt;&gt;"",SUMPRODUCT((Transactions[交易日期]&gt;=Portfolio[[#This Row],[开仓日期]])*(Transactions[交易日期]&lt;=Portfolio[[#This Row],[清仓日期]])*(Portfolio[[#This Row],[股票代码]]=Transactions[股票代码])*(Transactions[买卖标记]="卖出")*Transactions[交易均价]*Transactions[交易量])-SUMPRODUCT((Transactions[交易日期]&gt;=Portfolio[[#This Row],[开仓日期]])*(Transactions[交易日期]&lt;=Portfolio[[#This Row],[清仓日期]])*(Portfolio[[#This Row],[股票代码]]=Transactions[股票代码])*(Transactions[买卖标记]="买入")*Transactions[交易均价]*Transactions[交易量]),0)</f>
        <v>0</v>
      </c>
      <c r="P2" s="10">
        <f>Portfolio[[#This Row],[持仓总盈利]]/(Portfolio[[#This Row],[持仓成本]]*Portfolio[[#This Row],[累计买入]])</f>
        <v>0</v>
      </c>
      <c r="Q2" s="10">
        <f ca="1">IF(Portfolio[[#This Row],[浮动盈亏]]="-","-",Portfolio[[#This Row],[浮动盈亏]]/Summary[账户现值])</f>
        <v>7.3109541506675813E-2</v>
      </c>
      <c r="R2" s="10" t="str">
        <f>IF(ISNUMBER(Portfolio[[#This Row],[累计持仓天数]]),Portfolio[[#This Row],[持仓收益率]]/Portfolio[[#This Row],[累计持仓天数]]*365,"-")</f>
        <v>-</v>
      </c>
      <c r="S2" s="6" t="str">
        <f>IF(Portfolio[清仓日期]&lt;&gt;"",ROUNDUP(Portfolio[清仓日期]-Portfolio[开仓日期],0),"-")</f>
        <v>-</v>
      </c>
      <c r="T2" s="7"/>
      <c r="U2" s="10">
        <f>IF(Portfolio[[#This Row],[设定止损价]]&lt;&gt;0,(Portfolio[[#This Row],[设定止损价]]-Portfolio[[#This Row],[持仓成本]])/Portfolio[[#This Row],[持仓成本]],0)</f>
        <v>0</v>
      </c>
      <c r="V2" s="8"/>
      <c r="W2" s="10">
        <f>IF(Portfolio[[#This Row],[设定止盈价]]&lt;&gt;0,(Portfolio[[#This Row],[设定止盈价]]-Portfolio[[#This Row],[持仓成本]])/Portfolio[[#This Row],[持仓成本]],0)</f>
        <v>0</v>
      </c>
      <c r="X2" s="12">
        <f ca="1">IF(Portfolio[[#This Row],[清仓日期]]="",TODAY(),Portfolio[[#This Row],[清仓日期]])</f>
        <v>42160</v>
      </c>
      <c r="Y2" s="2">
        <f>IF(AND(Portfolio[[#This Row],[开仓日期]]&lt;Summary[统计开始时间],OR(Portfolio[[#This Row],[清仓日期]]="",Portfolio[[#This Row],[清仓日期]]&gt;=Summary[统计开始时间])),_xlfn.NUMBERVALUE(SinaStockInfoGetter(Portfolio[[#This Row],[股票代码]], Summary[统计开始时间],"open"))*(SUMPRODUCT((Transactions[交易日期]&lt;Summary[统计开始时间])*(Transactions[股票代码]=Portfolio[[#This Row],[股票代码]])*Transactions[交易量]*(Transactions[买卖标记]="买入"))-SUMPRODUCT((Transactions[交易日期]&lt;Summary[统计开始时间])*(Transactions[股票代码]=Portfolio[[#This Row],[股票代码]])*Transactions[交易量]*(Transactions[买卖标记]="卖出"))),0)</f>
        <v>0</v>
      </c>
      <c r="Z2" s="6">
        <f>IF(AND(Portfolio[[#This Row],[开仓日期]]&lt;=HoldingHelper[持仓计算日],OR(Portfolio[[#This Row],[清仓日期]]="",Portfolio[[#This Row],[清仓日期]]&gt;HoldingHelper[持仓计算日])),_xlfn.NUMBERVALUE(SinaStockInfoGetter(Portfolio[[#This Row],[股票代码]], HoldingHelper[持仓计算日],"close"))*(SUMPRODUCT((Transactions[交易日期]&lt;=HoldingHelper[持仓计算日])*(Transactions[股票代码]=Portfolio[[#This Row],[股票代码]])*Transactions[交易量]*(Transactions[买卖标记]="买入"))-SUMPRODUCT((Transactions[交易日期]&lt;=HoldingHelper[持仓计算日])*(Transactions[股票代码]=Portfolio[[#This Row],[股票代码]])*Transactions[交易量]*(Transactions[买卖标记]="卖出"))),0)</f>
        <v>29140</v>
      </c>
    </row>
  </sheetData>
  <phoneticPr fontId="1" type="noConversion"/>
  <conditionalFormatting sqref="I2">
    <cfRule type="expression" dxfId="35" priority="3">
      <formula>$I2&lt;0</formula>
    </cfRule>
  </conditionalFormatting>
  <conditionalFormatting sqref="P2">
    <cfRule type="expression" dxfId="34" priority="4">
      <formula>$P2&lt;0</formula>
    </cfRule>
  </conditionalFormatting>
  <conditionalFormatting sqref="Q2">
    <cfRule type="expression" dxfId="33" priority="2">
      <formula>$Q2&lt;0</formula>
    </cfRule>
  </conditionalFormatting>
  <conditionalFormatting sqref="A2:Z2">
    <cfRule type="expression" dxfId="32" priority="1">
      <formula>$Q2&lt;=(-0.02)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1"/>
  <dimension ref="A1:C8"/>
  <sheetViews>
    <sheetView workbookViewId="0">
      <selection activeCell="E11" sqref="E11"/>
    </sheetView>
  </sheetViews>
  <sheetFormatPr defaultRowHeight="16.5"/>
  <cols>
    <col min="1" max="1" width="9.77734375" customWidth="1"/>
    <col min="2" max="2" width="10.6640625" customWidth="1"/>
    <col min="3" max="3" width="11.5546875" customWidth="1"/>
  </cols>
  <sheetData>
    <row r="1" spans="1:3">
      <c r="A1" s="2" t="s">
        <v>77</v>
      </c>
      <c r="B1" s="2" t="s">
        <v>9</v>
      </c>
    </row>
    <row r="2" spans="1:3">
      <c r="A2" s="12">
        <v>42065</v>
      </c>
      <c r="B2" s="2">
        <f>SUMPRODUCT((Portfolio[开仓日期]&lt;=HoldingHelper[持仓计算日])*((Portfolio[清仓日期]="")+(Portfolio[清仓日期]&gt;=HoldingHelper[持仓计算日]))*Portfolio[持仓计算辅助列])</f>
        <v>29140</v>
      </c>
    </row>
    <row r="6" spans="1:3">
      <c r="C6" s="21"/>
    </row>
    <row r="7" spans="1:3">
      <c r="C7" s="21"/>
    </row>
    <row r="8" spans="1:3">
      <c r="B8" s="22"/>
      <c r="C8" s="2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InvestSummary</vt:lpstr>
      <vt:lpstr>Transactions</vt:lpstr>
      <vt:lpstr>Balance</vt:lpstr>
      <vt:lpstr>Portfolio Log</vt:lpstr>
      <vt:lpstr>MISC</vt:lpstr>
      <vt:lpstr>Chart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WilsonKong</dc:creator>
  <cp:lastModifiedBy>Weicong Kong</cp:lastModifiedBy>
  <dcterms:created xsi:type="dcterms:W3CDTF">2015-05-30T13:10:28Z</dcterms:created>
  <dcterms:modified xsi:type="dcterms:W3CDTF">2015-06-04T23:06:24Z</dcterms:modified>
</cp:coreProperties>
</file>